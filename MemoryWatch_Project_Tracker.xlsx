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  <sheet name="Dashboard" sheetId="2" state="visible" r:id="rId4"/>
    <sheet name="Milestones" sheetId="3" state="visible" r:id="rId5"/>
    <sheet name="Deliverab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<sst xmlns="http://schemas.openxmlformats.org/spreadsheetml/2006/main" count="270" uniqueCount="102">
  <si>
    <t xml:space="preserve">MemoryWatch — Task Tracker</t>
  </si>
  <si>
    <t xml:space="preserve">Quantum-Inspired Anomaly Detection for Memory-Based IDS  •  6-Week MVP Schedule</t>
  </si>
  <si>
    <t xml:space="preserve">Week</t>
  </si>
  <si>
    <t xml:space="preserve">Owner</t>
  </si>
  <si>
    <t xml:space="preserve">Task</t>
  </si>
  <si>
    <t xml:space="preserve">Dependency</t>
  </si>
  <si>
    <t xml:space="preserve">Status</t>
  </si>
  <si>
    <t xml:space="preserve">Progress %</t>
  </si>
  <si>
    <t xml:space="preserve">Due (end of)</t>
  </si>
  <si>
    <t xml:space="preserve">Notes</t>
  </si>
  <si>
    <t xml:space="preserve">Week 1</t>
  </si>
  <si>
    <t xml:space="preserve">Esala</t>
  </si>
  <si>
    <t xml:space="preserve">Create Git repo, branch strategy, shared env file, skeleton entry point</t>
  </si>
  <si>
    <t xml:space="preserve">—</t>
  </si>
  <si>
    <t xml:space="preserve">Not Started</t>
  </si>
  <si>
    <t xml:space="preserve">Pin versions (Python, scikit-learn, Qiskit 2.x); write README setup</t>
  </si>
  <si>
    <t xml:space="preserve">Ghita</t>
  </si>
  <si>
    <t xml:space="preserve">Download UNSW-NB15; confirm 49 features &amp; 9 attack categories; document schema</t>
  </si>
  <si>
    <t xml:space="preserve">Write reproducible loader logging rows/class counts/missing values</t>
  </si>
  <si>
    <t xml:space="preserve">Prachin</t>
  </si>
  <si>
    <t xml:space="preserve">Prototype minimal Isolation Forest on toy data to validate sklearn setup</t>
  </si>
  <si>
    <t xml:space="preserve">Vignesh</t>
  </si>
  <si>
    <t xml:space="preserve">Build threat-to-feature traceability table (3 attack types → signals)</t>
  </si>
  <si>
    <t xml:space="preserve">Week 2</t>
  </si>
  <si>
    <t xml:space="preserve">Define model interface contract (input shape, score output)</t>
  </si>
  <si>
    <t xml:space="preserve">W1 repo</t>
  </si>
  <si>
    <t xml:space="preserve">Implement cleaning, encoding, scaling (Chua et al. workflow)</t>
  </si>
  <si>
    <t xml:space="preserve">W1 loader</t>
  </si>
  <si>
    <t xml:space="preserve">Seeded train/test split + selected feature subset</t>
  </si>
  <si>
    <t xml:space="preserve">Agree array interface; stub model class against contract</t>
  </si>
  <si>
    <t xml:space="preserve">W2 contract</t>
  </si>
  <si>
    <t xml:space="preserve">Implement metrics module: FPR, recall, F1 (accuracy secondary)</t>
  </si>
  <si>
    <t xml:space="preserve">Week 3</t>
  </si>
  <si>
    <t xml:space="preserve">Support integration of baseline into entry point; review classical PR</t>
  </si>
  <si>
    <t xml:space="preserve">W3 baseline</t>
  </si>
  <si>
    <t xml:space="preserve">Expose preprocessing as single callable returning train/test arrays</t>
  </si>
  <si>
    <t xml:space="preserve">W2 split</t>
  </si>
  <si>
    <t xml:space="preserve">Implement full Isolation Forest pipeline (fit, score, label)</t>
  </si>
  <si>
    <t xml:space="preserve">W2 arrays</t>
  </si>
  <si>
    <t xml:space="preserve">Implement dynamic threshold (Shamim et al.) as parameter</t>
  </si>
  <si>
    <t xml:space="preserve">Wrap classical model in evaluation harness; first baseline metrics</t>
  </si>
  <si>
    <t xml:space="preserve">Week 4</t>
  </si>
  <si>
    <t xml:space="preserve">Build quantum layer: ZZFeatureMap kernel + One-Class SVM (Qiskit)</t>
  </si>
  <si>
    <t xml:space="preserve">Apply dimensionality reduction / small feature budget for simulation</t>
  </si>
  <si>
    <t xml:space="preserve">W4 quantum</t>
  </si>
  <si>
    <t xml:space="preserve">Provide reduced-feature variant for quantum layer</t>
  </si>
  <si>
    <t xml:space="preserve">Stabilise baseline; add unit tests; document score ranges</t>
  </si>
  <si>
    <t xml:space="preserve">Extend harness to accept quantum scores (identical metrics)</t>
  </si>
  <si>
    <t xml:space="preserve">Week 5</t>
  </si>
  <si>
    <t xml:space="preserve">Hand quantum scores to evaluation; tune feature count &amp; threshold</t>
  </si>
  <si>
    <t xml:space="preserve">Debug data-related metric anomalies; document dataset limitations</t>
  </si>
  <si>
    <t xml:space="preserve">Feed classical scores to harness; tune threshold (FPR vs recall)</t>
  </si>
  <si>
    <t xml:space="preserve">Produce classical-vs-quantum comparison table &amp; plots</t>
  </si>
  <si>
    <t xml:space="preserve">W4 + W3 scores</t>
  </si>
  <si>
    <t xml:space="preserve">Week 6</t>
  </si>
  <si>
    <t xml:space="preserve">Merge all slices into runnable MVP; assemble final report; lead dry-run</t>
  </si>
  <si>
    <t xml:space="preserve">All</t>
  </si>
  <si>
    <t xml:space="preserve">Write data/preprocessing report section; verify clean rerun</t>
  </si>
  <si>
    <t xml:space="preserve">Write classical-model report section; support integration &amp; demo</t>
  </si>
  <si>
    <t xml:space="preserve">Write evaluation/results sections; prepare results slides</t>
  </si>
  <si>
    <t xml:space="preserve">W5 comparison</t>
  </si>
  <si>
    <t xml:space="preserve">MemoryWatch — Progress Dashboard</t>
  </si>
  <si>
    <t xml:space="preserve">Live rollup from the Task Tracker (auto-calculated)</t>
  </si>
  <si>
    <t xml:space="preserve">Overall Progress</t>
  </si>
  <si>
    <t xml:space="preserve">Total tasks</t>
  </si>
  <si>
    <t xml:space="preserve">Done</t>
  </si>
  <si>
    <t xml:space="preserve">In Progress</t>
  </si>
  <si>
    <t xml:space="preserve">Blocked</t>
  </si>
  <si>
    <t xml:space="preserve">Avg completion %</t>
  </si>
  <si>
    <t xml:space="preserve">Progress by Member</t>
  </si>
  <si>
    <t xml:space="preserve">Member</t>
  </si>
  <si>
    <t xml:space="preserve">Tasks</t>
  </si>
  <si>
    <t xml:space="preserve">Avg %</t>
  </si>
  <si>
    <t xml:space="preserve">Progress by Week</t>
  </si>
  <si>
    <t xml:space="preserve">MemoryWatch — Milestones &amp; Deliverables</t>
  </si>
  <si>
    <t xml:space="preserve">Critical path: Data (W2) → Classical (W3) → Quantum (W4) → Comparison (W5) → Integration (W6)</t>
  </si>
  <si>
    <t xml:space="preserve">Milestone</t>
  </si>
  <si>
    <t xml:space="preserve">Definition of Done</t>
  </si>
  <si>
    <t xml:space="preserve">Setup &amp; data foundation</t>
  </si>
  <si>
    <t xml:space="preserve">Repo, env, dataset loaded; threat-to-feature mapping locked</t>
  </si>
  <si>
    <t xml:space="preserve">Preprocessing pipeline</t>
  </si>
  <si>
    <t xml:space="preserve">Clean/encode/scale; reproducible split; feature subset selected</t>
  </si>
  <si>
    <t xml:space="preserve">Classical baseline (MVP core)</t>
  </si>
  <si>
    <t xml:space="preserve">Isolation Forest end to end with dynamic threshold</t>
  </si>
  <si>
    <t xml:space="preserve">Quantum layer</t>
  </si>
  <si>
    <t xml:space="preserve">ZZFeatureMap kernel + One-Class SVM on same data</t>
  </si>
  <si>
    <t xml:space="preserve">Evaluation &amp; comparison</t>
  </si>
  <si>
    <t xml:space="preserve">FPR/recall/F1 for both; comparison table &amp; plots</t>
  </si>
  <si>
    <t xml:space="preserve">Integration, report &amp; demo</t>
  </si>
  <si>
    <t xml:space="preserve">Unified MVP, final report, slides, dry-run done</t>
  </si>
  <si>
    <t xml:space="preserve">MemoryWatch — Final Deliverables Checklist</t>
  </si>
  <si>
    <t xml:space="preserve">Tick off before submission</t>
  </si>
  <si>
    <t xml:space="preserve">Deliverable</t>
  </si>
  <si>
    <t xml:space="preserve">Done?</t>
  </si>
  <si>
    <t xml:space="preserve">Runnable MVP repo (single command/notebook) + README + pinned env</t>
  </si>
  <si>
    <t xml:space="preserve">No</t>
  </si>
  <si>
    <t xml:space="preserve">Preprocessing module + reproducible UNSW-NB15 split</t>
  </si>
  <si>
    <t xml:space="preserve">Isolation Forest baseline with dynamic thresholding</t>
  </si>
  <si>
    <t xml:space="preserve">Quantum layer (ZZFeatureMap + One-Class SVM, Qiskit simulation)</t>
  </si>
  <si>
    <t xml:space="preserve">Evaluation outputs: FPR/recall/F1 + comparison table &amp; plots</t>
  </si>
  <si>
    <t xml:space="preserve">Final written report (all sections merged, consistent references)</t>
  </si>
  <si>
    <t xml:space="preserve">Presentation slides + completed dry-run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</si>
</sst>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6F2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  <sz val="10"/>
      </font>
      <fill>
        <patternFill>
          <bgColor rgb="FF548235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D9D9D9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2F2F2"/>
      <rgbColor rgb="FFD9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Completion %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Dashboard!D20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Dashboard!$A$21:$A$26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Dashboard!$D$21:$D$26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7557490"/>
        <c:axId val="12504603"/>
      </c:barChart>
      <c:catAx>
        <c:axId val="47557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04603"/>
        <c:crosses val="autoZero"/>
        <c:auto val="1"/>
        <c:lblAlgn val="ctr"/>
        <c:lblOffset val="100"/>
        <c:noMultiLvlLbl val="0"/>
      </c:catAx>
      <c:valAx>
        <c:axId val="12504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5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Completion % by Member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Dashboard!D13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Dashboard!$A$14:$A$17</c:f>
              <c:strCache>
                <c:ptCount val="4"/>
                <c:pt idx="0">
                  <c:v>Esala</c:v>
                </c:pt>
                <c:pt idx="1">
                  <c:v>Ghita</c:v>
                </c:pt>
                <c:pt idx="2">
                  <c:v>Prachin</c:v>
                </c:pt>
                <c:pt idx="3">
                  <c:v>Vignesh</c:v>
                </c:pt>
              </c:strCache>
            </c:strRef>
          </c:cat>
          <c:val>
            <c:numRef>
              <c:f>Dashboard!$D$14:$D$17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7212962"/>
        <c:axId val="77847969"/>
      </c:barChart>
      <c:catAx>
        <c:axId val="87212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47969"/>
        <c:crosses val="autoZero"/>
        <c:auto val="1"/>
        <c:lblAlgn val="ctr"/>
        <c:lblOffset val="100"/>
        <c:noMultiLvlLbl val="0"/>
      </c:catAx>
      <c:valAx>
        <c:axId val="77847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12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187560</xdr:colOff>
      <xdr:row>16</xdr:row>
      <xdr:rowOff>43200</xdr:rowOff>
    </xdr:to>
    <xdr:graphicFrame>
      <xdr:nvGraphicFramePr>
        <xdr:cNvPr id="0" name="Chart 1"/>
        <xdr:cNvGraphicFramePr/>
      </xdr:nvGraphicFramePr>
      <xdr:xfrm>
        <a:off x="3735720" y="7714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13</xdr:col>
      <xdr:colOff>187560</xdr:colOff>
      <xdr:row>30</xdr:row>
      <xdr:rowOff>42840</xdr:rowOff>
    </xdr:to>
    <xdr:graphicFrame>
      <xdr:nvGraphicFramePr>
        <xdr:cNvPr id="1" name="Chart 2"/>
        <xdr:cNvGraphicFramePr/>
      </xdr:nvGraphicFramePr>
      <xdr:xfrm>
        <a:off x="3735720" y="34383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6" t="s">
        <v>12</v>
      </c>
      <c r="D5" s="6" t="s">
        <v>13</v>
      </c>
      <c r="E5" s="4" t="s">
        <v>14</v>
      </c>
      <c r="F5" s="7" t="n">
        <v>0</v>
      </c>
      <c r="G5" s="4" t="s">
        <v>10</v>
      </c>
      <c r="H5" s="6"/>
    </row>
    <row r="6" customFormat="false" ht="23.85" hidden="false" customHeight="false" outlineLevel="0" collapsed="false">
      <c r="A6" s="8" t="s">
        <v>10</v>
      </c>
      <c r="B6" s="9" t="s">
        <v>11</v>
      </c>
      <c r="C6" s="10" t="s">
        <v>15</v>
      </c>
      <c r="D6" s="10" t="s">
        <v>13</v>
      </c>
      <c r="E6" s="8" t="s">
        <v>14</v>
      </c>
      <c r="F6" s="11" t="n">
        <v>0</v>
      </c>
      <c r="G6" s="8" t="s">
        <v>10</v>
      </c>
      <c r="H6" s="10"/>
    </row>
    <row r="7" customFormat="false" ht="23.85" hidden="false" customHeight="false" outlineLevel="0" collapsed="false">
      <c r="A7" s="4" t="s">
        <v>10</v>
      </c>
      <c r="B7" s="5" t="s">
        <v>16</v>
      </c>
      <c r="C7" s="6" t="s">
        <v>17</v>
      </c>
      <c r="D7" s="6" t="s">
        <v>13</v>
      </c>
      <c r="E7" s="4" t="s">
        <v>14</v>
      </c>
      <c r="F7" s="7" t="n">
        <v>0</v>
      </c>
      <c r="G7" s="4" t="s">
        <v>10</v>
      </c>
      <c r="H7" s="6"/>
    </row>
    <row r="8" customFormat="false" ht="23.85" hidden="false" customHeight="false" outlineLevel="0" collapsed="false">
      <c r="A8" s="8" t="s">
        <v>10</v>
      </c>
      <c r="B8" s="9" t="s">
        <v>16</v>
      </c>
      <c r="C8" s="10" t="s">
        <v>18</v>
      </c>
      <c r="D8" s="10" t="s">
        <v>13</v>
      </c>
      <c r="E8" s="8" t="s">
        <v>14</v>
      </c>
      <c r="F8" s="11" t="n">
        <v>0</v>
      </c>
      <c r="G8" s="8" t="s">
        <v>10</v>
      </c>
      <c r="H8" s="10"/>
    </row>
    <row r="9" customFormat="false" ht="23.85" hidden="false" customHeight="false" outlineLevel="0" collapsed="false">
      <c r="A9" s="4" t="s">
        <v>10</v>
      </c>
      <c r="B9" s="5" t="s">
        <v>19</v>
      </c>
      <c r="C9" s="6" t="s">
        <v>20</v>
      </c>
      <c r="D9" s="6" t="s">
        <v>13</v>
      </c>
      <c r="E9" s="4" t="s">
        <v>14</v>
      </c>
      <c r="F9" s="7" t="n">
        <v>0</v>
      </c>
      <c r="G9" s="4" t="s">
        <v>10</v>
      </c>
      <c r="H9" s="6"/>
    </row>
    <row r="10" customFormat="false" ht="23.85" hidden="false" customHeight="false" outlineLevel="0" collapsed="false">
      <c r="A10" s="8" t="s">
        <v>10</v>
      </c>
      <c r="B10" s="9" t="s">
        <v>21</v>
      </c>
      <c r="C10" s="10" t="s">
        <v>22</v>
      </c>
      <c r="D10" s="10" t="s">
        <v>13</v>
      </c>
      <c r="E10" s="8" t="s">
        <v>14</v>
      </c>
      <c r="F10" s="11" t="n">
        <v>0</v>
      </c>
      <c r="G10" s="8" t="s">
        <v>10</v>
      </c>
      <c r="H10" s="10"/>
    </row>
    <row r="11" customFormat="false" ht="23.85" hidden="false" customHeight="false" outlineLevel="0" collapsed="false">
      <c r="A11" s="4" t="s">
        <v>23</v>
      </c>
      <c r="B11" s="5" t="s">
        <v>11</v>
      </c>
      <c r="C11" s="6" t="s">
        <v>24</v>
      </c>
      <c r="D11" s="6" t="s">
        <v>25</v>
      </c>
      <c r="E11" s="4" t="s">
        <v>14</v>
      </c>
      <c r="F11" s="7" t="n">
        <v>0</v>
      </c>
      <c r="G11" s="4" t="s">
        <v>23</v>
      </c>
      <c r="H11" s="6"/>
    </row>
    <row r="12" customFormat="false" ht="23.85" hidden="false" customHeight="false" outlineLevel="0" collapsed="false">
      <c r="A12" s="8" t="s">
        <v>23</v>
      </c>
      <c r="B12" s="9" t="s">
        <v>16</v>
      </c>
      <c r="C12" s="10" t="s">
        <v>26</v>
      </c>
      <c r="D12" s="10" t="s">
        <v>27</v>
      </c>
      <c r="E12" s="8" t="s">
        <v>14</v>
      </c>
      <c r="F12" s="11" t="n">
        <v>0</v>
      </c>
      <c r="G12" s="8" t="s">
        <v>23</v>
      </c>
      <c r="H12" s="10"/>
    </row>
    <row r="13" customFormat="false" ht="15" hidden="false" customHeight="false" outlineLevel="0" collapsed="false">
      <c r="A13" s="4" t="s">
        <v>23</v>
      </c>
      <c r="B13" s="5" t="s">
        <v>16</v>
      </c>
      <c r="C13" s="6" t="s">
        <v>28</v>
      </c>
      <c r="D13" s="6" t="s">
        <v>27</v>
      </c>
      <c r="E13" s="4" t="s">
        <v>14</v>
      </c>
      <c r="F13" s="7" t="n">
        <v>0</v>
      </c>
      <c r="G13" s="4" t="s">
        <v>23</v>
      </c>
      <c r="H13" s="6"/>
    </row>
    <row r="14" customFormat="false" ht="15" hidden="false" customHeight="false" outlineLevel="0" collapsed="false">
      <c r="A14" s="8" t="s">
        <v>23</v>
      </c>
      <c r="B14" s="9" t="s">
        <v>19</v>
      </c>
      <c r="C14" s="10" t="s">
        <v>29</v>
      </c>
      <c r="D14" s="10" t="s">
        <v>30</v>
      </c>
      <c r="E14" s="8" t="s">
        <v>14</v>
      </c>
      <c r="F14" s="11" t="n">
        <v>0</v>
      </c>
      <c r="G14" s="8" t="s">
        <v>23</v>
      </c>
      <c r="H14" s="10"/>
    </row>
    <row r="15" customFormat="false" ht="23.85" hidden="false" customHeight="false" outlineLevel="0" collapsed="false">
      <c r="A15" s="4" t="s">
        <v>23</v>
      </c>
      <c r="B15" s="5" t="s">
        <v>21</v>
      </c>
      <c r="C15" s="6" t="s">
        <v>31</v>
      </c>
      <c r="D15" s="6" t="s">
        <v>13</v>
      </c>
      <c r="E15" s="4" t="s">
        <v>14</v>
      </c>
      <c r="F15" s="7" t="n">
        <v>0</v>
      </c>
      <c r="G15" s="4" t="s">
        <v>23</v>
      </c>
      <c r="H15" s="6"/>
    </row>
    <row r="16" customFormat="false" ht="23.85" hidden="false" customHeight="false" outlineLevel="0" collapsed="false">
      <c r="A16" s="8" t="s">
        <v>32</v>
      </c>
      <c r="B16" s="9" t="s">
        <v>11</v>
      </c>
      <c r="C16" s="10" t="s">
        <v>33</v>
      </c>
      <c r="D16" s="10" t="s">
        <v>34</v>
      </c>
      <c r="E16" s="8" t="s">
        <v>14</v>
      </c>
      <c r="F16" s="11" t="n">
        <v>0</v>
      </c>
      <c r="G16" s="8" t="s">
        <v>32</v>
      </c>
      <c r="H16" s="10"/>
    </row>
    <row r="17" customFormat="false" ht="23.85" hidden="false" customHeight="false" outlineLevel="0" collapsed="false">
      <c r="A17" s="4" t="s">
        <v>32</v>
      </c>
      <c r="B17" s="5" t="s">
        <v>16</v>
      </c>
      <c r="C17" s="6" t="s">
        <v>35</v>
      </c>
      <c r="D17" s="6" t="s">
        <v>36</v>
      </c>
      <c r="E17" s="4" t="s">
        <v>14</v>
      </c>
      <c r="F17" s="7" t="n">
        <v>0</v>
      </c>
      <c r="G17" s="4" t="s">
        <v>32</v>
      </c>
      <c r="H17" s="6"/>
    </row>
    <row r="18" customFormat="false" ht="15" hidden="false" customHeight="false" outlineLevel="0" collapsed="false">
      <c r="A18" s="8" t="s">
        <v>32</v>
      </c>
      <c r="B18" s="9" t="s">
        <v>19</v>
      </c>
      <c r="C18" s="10" t="s">
        <v>37</v>
      </c>
      <c r="D18" s="10" t="s">
        <v>38</v>
      </c>
      <c r="E18" s="8" t="s">
        <v>14</v>
      </c>
      <c r="F18" s="11" t="n">
        <v>0</v>
      </c>
      <c r="G18" s="8" t="s">
        <v>32</v>
      </c>
      <c r="H18" s="10"/>
    </row>
    <row r="19" customFormat="false" ht="23.85" hidden="false" customHeight="false" outlineLevel="0" collapsed="false">
      <c r="A19" s="4" t="s">
        <v>32</v>
      </c>
      <c r="B19" s="5" t="s">
        <v>19</v>
      </c>
      <c r="C19" s="6" t="s">
        <v>39</v>
      </c>
      <c r="D19" s="6" t="s">
        <v>38</v>
      </c>
      <c r="E19" s="4" t="s">
        <v>14</v>
      </c>
      <c r="F19" s="7" t="n">
        <v>0</v>
      </c>
      <c r="G19" s="4" t="s">
        <v>32</v>
      </c>
      <c r="H19" s="6"/>
    </row>
    <row r="20" customFormat="false" ht="23.85" hidden="false" customHeight="false" outlineLevel="0" collapsed="false">
      <c r="A20" s="8" t="s">
        <v>32</v>
      </c>
      <c r="B20" s="9" t="s">
        <v>21</v>
      </c>
      <c r="C20" s="10" t="s">
        <v>40</v>
      </c>
      <c r="D20" s="10" t="s">
        <v>34</v>
      </c>
      <c r="E20" s="8" t="s">
        <v>14</v>
      </c>
      <c r="F20" s="11" t="n">
        <v>0</v>
      </c>
      <c r="G20" s="8" t="s">
        <v>32</v>
      </c>
      <c r="H20" s="10"/>
    </row>
    <row r="21" customFormat="false" ht="23.85" hidden="false" customHeight="false" outlineLevel="0" collapsed="false">
      <c r="A21" s="4" t="s">
        <v>41</v>
      </c>
      <c r="B21" s="5" t="s">
        <v>11</v>
      </c>
      <c r="C21" s="6" t="s">
        <v>42</v>
      </c>
      <c r="D21" s="6" t="s">
        <v>38</v>
      </c>
      <c r="E21" s="4" t="s">
        <v>14</v>
      </c>
      <c r="F21" s="7" t="n">
        <v>0</v>
      </c>
      <c r="G21" s="4" t="s">
        <v>41</v>
      </c>
      <c r="H21" s="6"/>
    </row>
    <row r="22" customFormat="false" ht="23.85" hidden="false" customHeight="false" outlineLevel="0" collapsed="false">
      <c r="A22" s="8" t="s">
        <v>41</v>
      </c>
      <c r="B22" s="9" t="s">
        <v>11</v>
      </c>
      <c r="C22" s="10" t="s">
        <v>43</v>
      </c>
      <c r="D22" s="10" t="s">
        <v>44</v>
      </c>
      <c r="E22" s="8" t="s">
        <v>14</v>
      </c>
      <c r="F22" s="11" t="n">
        <v>0</v>
      </c>
      <c r="G22" s="8" t="s">
        <v>41</v>
      </c>
      <c r="H22" s="10"/>
    </row>
    <row r="23" customFormat="false" ht="15" hidden="false" customHeight="false" outlineLevel="0" collapsed="false">
      <c r="A23" s="4" t="s">
        <v>41</v>
      </c>
      <c r="B23" s="5" t="s">
        <v>16</v>
      </c>
      <c r="C23" s="6" t="s">
        <v>45</v>
      </c>
      <c r="D23" s="6" t="s">
        <v>36</v>
      </c>
      <c r="E23" s="4" t="s">
        <v>14</v>
      </c>
      <c r="F23" s="7" t="n">
        <v>0</v>
      </c>
      <c r="G23" s="4" t="s">
        <v>41</v>
      </c>
      <c r="H23" s="6"/>
    </row>
    <row r="24" customFormat="false" ht="23.85" hidden="false" customHeight="false" outlineLevel="0" collapsed="false">
      <c r="A24" s="8" t="s">
        <v>41</v>
      </c>
      <c r="B24" s="9" t="s">
        <v>19</v>
      </c>
      <c r="C24" s="10" t="s">
        <v>46</v>
      </c>
      <c r="D24" s="10" t="s">
        <v>34</v>
      </c>
      <c r="E24" s="8" t="s">
        <v>14</v>
      </c>
      <c r="F24" s="11" t="n">
        <v>0</v>
      </c>
      <c r="G24" s="8" t="s">
        <v>41</v>
      </c>
      <c r="H24" s="10"/>
    </row>
    <row r="25" customFormat="false" ht="23.85" hidden="false" customHeight="false" outlineLevel="0" collapsed="false">
      <c r="A25" s="4" t="s">
        <v>41</v>
      </c>
      <c r="B25" s="5" t="s">
        <v>21</v>
      </c>
      <c r="C25" s="6" t="s">
        <v>47</v>
      </c>
      <c r="D25" s="6" t="s">
        <v>44</v>
      </c>
      <c r="E25" s="4" t="s">
        <v>14</v>
      </c>
      <c r="F25" s="7" t="n">
        <v>0</v>
      </c>
      <c r="G25" s="4" t="s">
        <v>41</v>
      </c>
      <c r="H25" s="6"/>
    </row>
    <row r="26" customFormat="false" ht="23.85" hidden="false" customHeight="false" outlineLevel="0" collapsed="false">
      <c r="A26" s="8" t="s">
        <v>48</v>
      </c>
      <c r="B26" s="9" t="s">
        <v>11</v>
      </c>
      <c r="C26" s="10" t="s">
        <v>49</v>
      </c>
      <c r="D26" s="10" t="s">
        <v>44</v>
      </c>
      <c r="E26" s="8" t="s">
        <v>14</v>
      </c>
      <c r="F26" s="11" t="n">
        <v>0</v>
      </c>
      <c r="G26" s="8" t="s">
        <v>48</v>
      </c>
      <c r="H26" s="10"/>
    </row>
    <row r="27" customFormat="false" ht="23.85" hidden="false" customHeight="false" outlineLevel="0" collapsed="false">
      <c r="A27" s="4" t="s">
        <v>48</v>
      </c>
      <c r="B27" s="5" t="s">
        <v>16</v>
      </c>
      <c r="C27" s="6" t="s">
        <v>50</v>
      </c>
      <c r="D27" s="6" t="s">
        <v>13</v>
      </c>
      <c r="E27" s="4" t="s">
        <v>14</v>
      </c>
      <c r="F27" s="7" t="n">
        <v>0</v>
      </c>
      <c r="G27" s="4" t="s">
        <v>48</v>
      </c>
      <c r="H27" s="6"/>
    </row>
    <row r="28" customFormat="false" ht="23.85" hidden="false" customHeight="false" outlineLevel="0" collapsed="false">
      <c r="A28" s="8" t="s">
        <v>48</v>
      </c>
      <c r="B28" s="9" t="s">
        <v>19</v>
      </c>
      <c r="C28" s="10" t="s">
        <v>51</v>
      </c>
      <c r="D28" s="10" t="s">
        <v>34</v>
      </c>
      <c r="E28" s="8" t="s">
        <v>14</v>
      </c>
      <c r="F28" s="11" t="n">
        <v>0</v>
      </c>
      <c r="G28" s="8" t="s">
        <v>48</v>
      </c>
      <c r="H28" s="10"/>
    </row>
    <row r="29" customFormat="false" ht="15" hidden="false" customHeight="false" outlineLevel="0" collapsed="false">
      <c r="A29" s="4" t="s">
        <v>48</v>
      </c>
      <c r="B29" s="5" t="s">
        <v>21</v>
      </c>
      <c r="C29" s="6" t="s">
        <v>52</v>
      </c>
      <c r="D29" s="6" t="s">
        <v>53</v>
      </c>
      <c r="E29" s="4" t="s">
        <v>14</v>
      </c>
      <c r="F29" s="7" t="n">
        <v>0</v>
      </c>
      <c r="G29" s="4" t="s">
        <v>48</v>
      </c>
      <c r="H29" s="6"/>
    </row>
    <row r="30" customFormat="false" ht="23.85" hidden="false" customHeight="false" outlineLevel="0" collapsed="false">
      <c r="A30" s="8" t="s">
        <v>54</v>
      </c>
      <c r="B30" s="9" t="s">
        <v>11</v>
      </c>
      <c r="C30" s="10" t="s">
        <v>55</v>
      </c>
      <c r="D30" s="10" t="s">
        <v>56</v>
      </c>
      <c r="E30" s="8" t="s">
        <v>14</v>
      </c>
      <c r="F30" s="11" t="n">
        <v>0</v>
      </c>
      <c r="G30" s="8" t="s">
        <v>54</v>
      </c>
      <c r="H30" s="10"/>
    </row>
    <row r="31" customFormat="false" ht="23.85" hidden="false" customHeight="false" outlineLevel="0" collapsed="false">
      <c r="A31" s="4" t="s">
        <v>54</v>
      </c>
      <c r="B31" s="5" t="s">
        <v>16</v>
      </c>
      <c r="C31" s="6" t="s">
        <v>57</v>
      </c>
      <c r="D31" s="6" t="s">
        <v>13</v>
      </c>
      <c r="E31" s="4" t="s">
        <v>14</v>
      </c>
      <c r="F31" s="7" t="n">
        <v>0</v>
      </c>
      <c r="G31" s="4" t="s">
        <v>54</v>
      </c>
      <c r="H31" s="6"/>
    </row>
    <row r="32" customFormat="false" ht="23.85" hidden="false" customHeight="false" outlineLevel="0" collapsed="false">
      <c r="A32" s="8" t="s">
        <v>54</v>
      </c>
      <c r="B32" s="9" t="s">
        <v>19</v>
      </c>
      <c r="C32" s="10" t="s">
        <v>58</v>
      </c>
      <c r="D32" s="10" t="s">
        <v>13</v>
      </c>
      <c r="E32" s="8" t="s">
        <v>14</v>
      </c>
      <c r="F32" s="11" t="n">
        <v>0</v>
      </c>
      <c r="G32" s="8" t="s">
        <v>54</v>
      </c>
      <c r="H32" s="10"/>
    </row>
    <row r="33" customFormat="false" ht="15" hidden="false" customHeight="false" outlineLevel="0" collapsed="false">
      <c r="A33" s="4" t="s">
        <v>54</v>
      </c>
      <c r="B33" s="5" t="s">
        <v>21</v>
      </c>
      <c r="C33" s="6" t="s">
        <v>59</v>
      </c>
      <c r="D33" s="6" t="s">
        <v>60</v>
      </c>
      <c r="E33" s="4" t="s">
        <v>14</v>
      </c>
      <c r="F33" s="7" t="n">
        <v>0</v>
      </c>
      <c r="G33" s="4" t="s">
        <v>54</v>
      </c>
      <c r="H33" s="6"/>
    </row>
  </sheetData>
  <mergeCells count="2">
    <mergeCell ref="A1:H1"/>
    <mergeCell ref="A2:H2"/>
  </mergeCells>
  <conditionalFormatting sqref="E5:E3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conditionalFormatting sqref="F5:F33">
    <cfRule type="dataBar" priority="6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{F01C7DB9-99EF-42EC-B4C9-A670D9311296}</x14:id>
        </ext>
      </extLst>
    </cfRule>
  </conditionalFormatting>
  <dataValidations count="1">
    <dataValidation allowBlank="false" errorStyle="stop" operator="between" showDropDown="false" showErrorMessage="false" showInputMessage="false" sqref="E5:E33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1C7DB9-99EF-42EC-B4C9-A670D931129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F5:F33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6" min="5" style="0" width="3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62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2" t="s">
        <v>63</v>
      </c>
    </row>
    <row r="5" customFormat="false" ht="15" hidden="false" customHeight="false" outlineLevel="0" collapsed="false">
      <c r="A5" s="13" t="s">
        <v>64</v>
      </c>
      <c r="B5" s="13" t="n">
        <f aca="false">COUNTA('Task Tracker'!C5:C33)</f>
        <v>29</v>
      </c>
    </row>
    <row r="6" customFormat="false" ht="15" hidden="false" customHeight="false" outlineLevel="0" collapsed="false">
      <c r="A6" s="13" t="s">
        <v>65</v>
      </c>
      <c r="B6" s="13" t="n">
        <f aca="false">COUNTIF('Task Tracker'!E5:E33,"Done")</f>
        <v>0</v>
      </c>
    </row>
    <row r="7" customFormat="false" ht="15" hidden="false" customHeight="false" outlineLevel="0" collapsed="false">
      <c r="A7" s="13" t="s">
        <v>66</v>
      </c>
      <c r="B7" s="13" t="n">
        <f aca="false">COUNTIF('Task Tracker'!E5:E33,"In Progress")</f>
        <v>0</v>
      </c>
    </row>
    <row r="8" customFormat="false" ht="15" hidden="false" customHeight="false" outlineLevel="0" collapsed="false">
      <c r="A8" s="13" t="s">
        <v>67</v>
      </c>
      <c r="B8" s="13" t="n">
        <f aca="false">COUNTIF('Task Tracker'!E5:E33,"Blocked")</f>
        <v>0</v>
      </c>
    </row>
    <row r="9" customFormat="false" ht="15" hidden="false" customHeight="false" outlineLevel="0" collapsed="false">
      <c r="A9" s="13" t="s">
        <v>14</v>
      </c>
      <c r="B9" s="13" t="n">
        <f aca="false">COUNTIF('Task Tracker'!E5:E33,"Not Started")</f>
        <v>29</v>
      </c>
    </row>
    <row r="10" customFormat="false" ht="15" hidden="false" customHeight="false" outlineLevel="0" collapsed="false">
      <c r="A10" s="14" t="s">
        <v>68</v>
      </c>
      <c r="B10" s="15" t="n">
        <f aca="false">AVERAGE('Task Tracker'!F5:F33)</f>
        <v>0</v>
      </c>
    </row>
    <row r="12" customFormat="false" ht="15" hidden="false" customHeight="false" outlineLevel="0" collapsed="false">
      <c r="A12" s="12" t="s">
        <v>69</v>
      </c>
    </row>
    <row r="13" customFormat="false" ht="15" hidden="false" customHeight="false" outlineLevel="0" collapsed="false">
      <c r="A13" s="3" t="s">
        <v>70</v>
      </c>
      <c r="B13" s="3" t="s">
        <v>71</v>
      </c>
      <c r="C13" s="3" t="s">
        <v>65</v>
      </c>
      <c r="D13" s="3" t="s">
        <v>72</v>
      </c>
    </row>
    <row r="14" customFormat="false" ht="15" hidden="false" customHeight="false" outlineLevel="0" collapsed="false">
      <c r="A14" s="16" t="s">
        <v>11</v>
      </c>
      <c r="B14" s="17" t="n">
        <f aca="false">COUNTIF('Task Tracker'!B5:B33,A14)</f>
        <v>8</v>
      </c>
      <c r="C14" s="17" t="n">
        <f aca="false">COUNTIFS('Task Tracker'!B5:B33,A14,'Task Tracker'!E5:E33,"Done")</f>
        <v>0</v>
      </c>
      <c r="D14" s="18" t="n">
        <f aca="false">IFERROR(AVERAGEIF('Task Tracker'!B5:B33,A14,'Task Tracker'!F5:F33),0)</f>
        <v>0</v>
      </c>
    </row>
    <row r="15" customFormat="false" ht="15" hidden="false" customHeight="false" outlineLevel="0" collapsed="false">
      <c r="A15" s="16" t="s">
        <v>16</v>
      </c>
      <c r="B15" s="17" t="n">
        <f aca="false">COUNTIF('Task Tracker'!B5:B33,A15)</f>
        <v>8</v>
      </c>
      <c r="C15" s="17" t="n">
        <f aca="false">COUNTIFS('Task Tracker'!B5:B33,A15,'Task Tracker'!E5:E33,"Done")</f>
        <v>0</v>
      </c>
      <c r="D15" s="18" t="n">
        <f aca="false">IFERROR(AVERAGEIF('Task Tracker'!B5:B33,A15,'Task Tracker'!F5:F33),0)</f>
        <v>0</v>
      </c>
    </row>
    <row r="16" customFormat="false" ht="15" hidden="false" customHeight="false" outlineLevel="0" collapsed="false">
      <c r="A16" s="16" t="s">
        <v>19</v>
      </c>
      <c r="B16" s="17" t="n">
        <f aca="false">COUNTIF('Task Tracker'!B5:B33,A16)</f>
        <v>7</v>
      </c>
      <c r="C16" s="17" t="n">
        <f aca="false">COUNTIFS('Task Tracker'!B5:B33,A16,'Task Tracker'!E5:E33,"Done")</f>
        <v>0</v>
      </c>
      <c r="D16" s="18" t="n">
        <f aca="false">IFERROR(AVERAGEIF('Task Tracker'!B5:B33,A16,'Task Tracker'!F5:F33),0)</f>
        <v>0</v>
      </c>
    </row>
    <row r="17" customFormat="false" ht="15" hidden="false" customHeight="false" outlineLevel="0" collapsed="false">
      <c r="A17" s="16" t="s">
        <v>21</v>
      </c>
      <c r="B17" s="17" t="n">
        <f aca="false">COUNTIF('Task Tracker'!B5:B33,A17)</f>
        <v>6</v>
      </c>
      <c r="C17" s="17" t="n">
        <f aca="false">COUNTIFS('Task Tracker'!B5:B33,A17,'Task Tracker'!E5:E33,"Done")</f>
        <v>0</v>
      </c>
      <c r="D17" s="18" t="n">
        <f aca="false">IFERROR(AVERAGEIF('Task Tracker'!B5:B33,A17,'Task Tracker'!F5:F33),0)</f>
        <v>0</v>
      </c>
    </row>
    <row r="19" customFormat="false" ht="15" hidden="false" customHeight="false" outlineLevel="0" collapsed="false">
      <c r="A19" s="12" t="s">
        <v>73</v>
      </c>
    </row>
    <row r="20" customFormat="false" ht="15" hidden="false" customHeight="false" outlineLevel="0" collapsed="false">
      <c r="A20" s="3" t="s">
        <v>2</v>
      </c>
      <c r="B20" s="3" t="s">
        <v>71</v>
      </c>
      <c r="C20" s="3" t="s">
        <v>65</v>
      </c>
      <c r="D20" s="3" t="s">
        <v>72</v>
      </c>
    </row>
    <row r="21" customFormat="false" ht="15" hidden="false" customHeight="false" outlineLevel="0" collapsed="false">
      <c r="A21" s="16" t="s">
        <v>10</v>
      </c>
      <c r="B21" s="17" t="n">
        <f aca="false">COUNTIF('Task Tracker'!A5:A33,A21)</f>
        <v>6</v>
      </c>
      <c r="C21" s="17" t="n">
        <f aca="false">COUNTIFS('Task Tracker'!A5:A33,A21,'Task Tracker'!E5:E33,"Done")</f>
        <v>0</v>
      </c>
      <c r="D21" s="18" t="n">
        <f aca="false">IFERROR(AVERAGEIF('Task Tracker'!A5:A33,A21,'Task Tracker'!F5:F33),0)</f>
        <v>0</v>
      </c>
    </row>
    <row r="22" customFormat="false" ht="15" hidden="false" customHeight="false" outlineLevel="0" collapsed="false">
      <c r="A22" s="16" t="s">
        <v>23</v>
      </c>
      <c r="B22" s="17" t="n">
        <f aca="false">COUNTIF('Task Tracker'!A5:A33,A22)</f>
        <v>5</v>
      </c>
      <c r="C22" s="17" t="n">
        <f aca="false">COUNTIFS('Task Tracker'!A5:A33,A22,'Task Tracker'!E5:E33,"Done")</f>
        <v>0</v>
      </c>
      <c r="D22" s="18" t="n">
        <f aca="false">IFERROR(AVERAGEIF('Task Tracker'!A5:A33,A22,'Task Tracker'!F5:F33),0)</f>
        <v>0</v>
      </c>
    </row>
    <row r="23" customFormat="false" ht="15" hidden="false" customHeight="false" outlineLevel="0" collapsed="false">
      <c r="A23" s="16" t="s">
        <v>32</v>
      </c>
      <c r="B23" s="17" t="n">
        <f aca="false">COUNTIF('Task Tracker'!A5:A33,A23)</f>
        <v>5</v>
      </c>
      <c r="C23" s="17" t="n">
        <f aca="false">COUNTIFS('Task Tracker'!A5:A33,A23,'Task Tracker'!E5:E33,"Done")</f>
        <v>0</v>
      </c>
      <c r="D23" s="18" t="n">
        <f aca="false">IFERROR(AVERAGEIF('Task Tracker'!A5:A33,A23,'Task Tracker'!F5:F33),0)</f>
        <v>0</v>
      </c>
    </row>
    <row r="24" customFormat="false" ht="15" hidden="false" customHeight="false" outlineLevel="0" collapsed="false">
      <c r="A24" s="16" t="s">
        <v>41</v>
      </c>
      <c r="B24" s="17" t="n">
        <f aca="false">COUNTIF('Task Tracker'!A5:A33,A24)</f>
        <v>5</v>
      </c>
      <c r="C24" s="17" t="n">
        <f aca="false">COUNTIFS('Task Tracker'!A5:A33,A24,'Task Tracker'!E5:E33,"Done")</f>
        <v>0</v>
      </c>
      <c r="D24" s="18" t="n">
        <f aca="false">IFERROR(AVERAGEIF('Task Tracker'!A5:A33,A24,'Task Tracker'!F5:F33),0)</f>
        <v>0</v>
      </c>
    </row>
    <row r="25" customFormat="false" ht="15" hidden="false" customHeight="false" outlineLevel="0" collapsed="false">
      <c r="A25" s="16" t="s">
        <v>48</v>
      </c>
      <c r="B25" s="17" t="n">
        <f aca="false">COUNTIF('Task Tracker'!A5:A33,A25)</f>
        <v>4</v>
      </c>
      <c r="C25" s="17" t="n">
        <f aca="false">COUNTIFS('Task Tracker'!A5:A33,A25,'Task Tracker'!E5:E33,"Done")</f>
        <v>0</v>
      </c>
      <c r="D25" s="18" t="n">
        <f aca="false">IFERROR(AVERAGEIF('Task Tracker'!A5:A33,A25,'Task Tracker'!F5:F33),0)</f>
        <v>0</v>
      </c>
    </row>
    <row r="26" customFormat="false" ht="15" hidden="false" customHeight="false" outlineLevel="0" collapsed="false">
      <c r="A26" s="16" t="s">
        <v>54</v>
      </c>
      <c r="B26" s="17" t="n">
        <f aca="false">COUNTIF('Task Tracker'!A5:A33,A26)</f>
        <v>4</v>
      </c>
      <c r="C26" s="17" t="n">
        <f aca="false">COUNTIFS('Task Tracker'!A5:A33,A26,'Task Tracker'!E5:E33,"Done")</f>
        <v>0</v>
      </c>
      <c r="D26" s="18" t="n">
        <f aca="false">IFERROR(AVERAGEIF('Task Tracker'!A5:A33,A26,'Task Tracker'!F5:F33),0)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11"/>
  </cols>
  <sheetData>
    <row r="1" customFormat="false" ht="27.75" hidden="false" customHeight="true" outlineLevel="0" collapsed="false">
      <c r="A1" s="1" t="s">
        <v>74</v>
      </c>
      <c r="B1" s="1"/>
      <c r="C1" s="1"/>
      <c r="D1" s="1"/>
      <c r="E1" s="1"/>
    </row>
    <row r="2" customFormat="false" ht="18" hidden="false" customHeight="true" outlineLevel="0" collapsed="false">
      <c r="A2" s="2" t="s">
        <v>75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76</v>
      </c>
      <c r="C4" s="3" t="s">
        <v>77</v>
      </c>
      <c r="D4" s="3" t="s">
        <v>6</v>
      </c>
      <c r="E4" s="3" t="s">
        <v>7</v>
      </c>
    </row>
    <row r="5" customFormat="false" ht="23.85" hidden="false" customHeight="false" outlineLevel="0" collapsed="false">
      <c r="A5" s="4" t="s">
        <v>10</v>
      </c>
      <c r="B5" s="6" t="s">
        <v>78</v>
      </c>
      <c r="C5" s="6" t="s">
        <v>79</v>
      </c>
      <c r="D5" s="4" t="s">
        <v>14</v>
      </c>
      <c r="E5" s="7" t="n">
        <v>0</v>
      </c>
    </row>
    <row r="6" customFormat="false" ht="23.85" hidden="false" customHeight="false" outlineLevel="0" collapsed="false">
      <c r="A6" s="4" t="s">
        <v>23</v>
      </c>
      <c r="B6" s="6" t="s">
        <v>80</v>
      </c>
      <c r="C6" s="6" t="s">
        <v>81</v>
      </c>
      <c r="D6" s="4" t="s">
        <v>14</v>
      </c>
      <c r="E6" s="7" t="n">
        <v>0</v>
      </c>
    </row>
    <row r="7" customFormat="false" ht="15" hidden="false" customHeight="false" outlineLevel="0" collapsed="false">
      <c r="A7" s="4" t="s">
        <v>32</v>
      </c>
      <c r="B7" s="6" t="s">
        <v>82</v>
      </c>
      <c r="C7" s="6" t="s">
        <v>83</v>
      </c>
      <c r="D7" s="4" t="s">
        <v>14</v>
      </c>
      <c r="E7" s="7" t="n">
        <v>0</v>
      </c>
    </row>
    <row r="8" customFormat="false" ht="15" hidden="false" customHeight="false" outlineLevel="0" collapsed="false">
      <c r="A8" s="4" t="s">
        <v>41</v>
      </c>
      <c r="B8" s="6" t="s">
        <v>84</v>
      </c>
      <c r="C8" s="6" t="s">
        <v>85</v>
      </c>
      <c r="D8" s="4" t="s">
        <v>14</v>
      </c>
      <c r="E8" s="7" t="n">
        <v>0</v>
      </c>
    </row>
    <row r="9" customFormat="false" ht="15" hidden="false" customHeight="false" outlineLevel="0" collapsed="false">
      <c r="A9" s="4" t="s">
        <v>48</v>
      </c>
      <c r="B9" s="6" t="s">
        <v>86</v>
      </c>
      <c r="C9" s="6" t="s">
        <v>87</v>
      </c>
      <c r="D9" s="4" t="s">
        <v>14</v>
      </c>
      <c r="E9" s="7" t="n">
        <v>0</v>
      </c>
    </row>
    <row r="10" customFormat="false" ht="15" hidden="false" customHeight="false" outlineLevel="0" collapsed="false">
      <c r="A10" s="4" t="s">
        <v>54</v>
      </c>
      <c r="B10" s="6" t="s">
        <v>88</v>
      </c>
      <c r="C10" s="6" t="s">
        <v>89</v>
      </c>
      <c r="D10" s="4" t="s">
        <v>14</v>
      </c>
      <c r="E10" s="7" t="n">
        <v>0</v>
      </c>
    </row>
  </sheetData>
  <mergeCells count="2">
    <mergeCell ref="A1:E1"/>
    <mergeCell ref="A2:E2"/>
  </mergeCells>
  <conditionalFormatting sqref="D5:D1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conditionalFormatting sqref="E5:E10">
    <cfRule type="dataBar" priority="6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{ABAC732F-3593-47AD-8532-B446C7203A50}</x14:id>
        </ext>
      </extLst>
    </cfRule>
  </conditionalFormatting>
  <dataValidations count="1">
    <dataValidation allowBlank="false" errorStyle="stop" operator="between" showDropDown="false" showErrorMessage="false" showInputMessage="false" sqref="D5:D1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AC732F-3593-47AD-8532-B446C7203A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E5:E10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27.75" hidden="false" customHeight="true" outlineLevel="0" collapsed="false">
      <c r="A1" s="1" t="s">
        <v>90</v>
      </c>
      <c r="B1" s="1"/>
      <c r="C1" s="1"/>
    </row>
    <row r="2" customFormat="false" ht="18" hidden="false" customHeight="true" outlineLevel="0" collapsed="false">
      <c r="A2" s="2" t="s">
        <v>91</v>
      </c>
      <c r="B2" s="2"/>
      <c r="C2" s="2"/>
    </row>
    <row r="4" customFormat="false" ht="15" hidden="false" customHeight="false" outlineLevel="0" collapsed="false">
      <c r="A4" s="3" t="s">
        <v>92</v>
      </c>
      <c r="B4" s="3" t="s">
        <v>3</v>
      </c>
      <c r="C4" s="3" t="s">
        <v>93</v>
      </c>
    </row>
    <row r="5" customFormat="false" ht="23.85" hidden="false" customHeight="false" outlineLevel="0" collapsed="false">
      <c r="A5" s="6" t="s">
        <v>94</v>
      </c>
      <c r="B5" s="4" t="s">
        <v>11</v>
      </c>
      <c r="C5" s="4" t="s">
        <v>95</v>
      </c>
    </row>
    <row r="6" customFormat="false" ht="15" hidden="false" customHeight="false" outlineLevel="0" collapsed="false">
      <c r="A6" s="6" t="s">
        <v>96</v>
      </c>
      <c r="B6" s="4" t="s">
        <v>16</v>
      </c>
      <c r="C6" s="4" t="s">
        <v>95</v>
      </c>
    </row>
    <row r="7" customFormat="false" ht="15" hidden="false" customHeight="false" outlineLevel="0" collapsed="false">
      <c r="A7" s="6" t="s">
        <v>97</v>
      </c>
      <c r="B7" s="4" t="s">
        <v>19</v>
      </c>
      <c r="C7" s="4" t="s">
        <v>95</v>
      </c>
    </row>
    <row r="8" customFormat="false" ht="15" hidden="false" customHeight="false" outlineLevel="0" collapsed="false">
      <c r="A8" s="6" t="s">
        <v>98</v>
      </c>
      <c r="B8" s="4" t="s">
        <v>11</v>
      </c>
      <c r="C8" s="4" t="s">
        <v>95</v>
      </c>
    </row>
    <row r="9" customFormat="false" ht="15" hidden="false" customHeight="false" outlineLevel="0" collapsed="false">
      <c r="A9" s="6" t="s">
        <v>99</v>
      </c>
      <c r="B9" s="4" t="s">
        <v>21</v>
      </c>
      <c r="C9" s="4" t="s">
        <v>95</v>
      </c>
    </row>
    <row r="10" customFormat="false" ht="15" hidden="false" customHeight="false" outlineLevel="0" collapsed="false">
      <c r="A10" s="6" t="s">
        <v>100</v>
      </c>
      <c r="B10" s="4" t="s">
        <v>11</v>
      </c>
      <c r="C10" s="4" t="s">
        <v>95</v>
      </c>
    </row>
    <row r="11" customFormat="false" ht="15" hidden="false" customHeight="false" outlineLevel="0" collapsed="false">
      <c r="A11" s="6" t="s">
        <v>101</v>
      </c>
      <c r="B11" s="4" t="s">
        <v>56</v>
      </c>
      <c r="C11" s="4" t="s">
        <v>95</v>
      </c>
    </row>
  </sheetData>
  <mergeCells count="2">
    <mergeCell ref="A1:C1"/>
    <mergeCell ref="A2:C2"/>
  </mergeCells>
  <conditionalFormatting sqref="C5:C11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4">
      <formula>"No"</formula>
    </cfRule>
  </conditionalFormatting>
  <dataValidations count="1">
    <dataValidation allowBlank="false" errorStyle="stop" operator="between" showDropDown="false" showErrorMessage="false" showInputMessage="false" sqref="C5:C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2026-06-24T10:09:17Z</dcterms:created>
  <dc:creator>openpyxl</dc:creator>
  <dc:description/>
  <dc:language>en-US</dc:language>
  <cp:lastModifiedBy/>
  <dcterms:modified xsi:type="dcterms:W3CDTF">2026-06-24T10:09:20Z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